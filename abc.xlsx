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activeTab="1"/>
  </bookViews>
  <sheets>
    <sheet name="Main" sheetId="1" r:id="rId1"/>
    <sheet name="Classific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<sst xmlns="http://schemas.openxmlformats.org/spreadsheetml/2006/main" count="73" uniqueCount="44">
  <si>
    <t>Item</t>
  </si>
  <si>
    <t>Cost</t>
  </si>
  <si>
    <t>Advance</t>
  </si>
  <si>
    <t>Pending</t>
  </si>
  <si>
    <t>Gievn By</t>
  </si>
  <si>
    <t xml:space="preserve">Name </t>
  </si>
  <si>
    <t>Price</t>
  </si>
  <si>
    <t>Colouring &amp; Repairing</t>
  </si>
  <si>
    <t>Total Cost</t>
  </si>
  <si>
    <t>Ma</t>
  </si>
  <si>
    <t>Saree</t>
  </si>
  <si>
    <t>AC</t>
  </si>
  <si>
    <t>Cost till date</t>
  </si>
  <si>
    <t>Geysers</t>
  </si>
  <si>
    <t>Washing Machine</t>
  </si>
  <si>
    <t>Make up</t>
  </si>
  <si>
    <t>Hall</t>
  </si>
  <si>
    <t>Decoration(Flat)</t>
  </si>
  <si>
    <t>Ornaments</t>
  </si>
  <si>
    <t>Food</t>
  </si>
  <si>
    <t>Garments</t>
  </si>
  <si>
    <t>Car &amp; Toto</t>
  </si>
  <si>
    <t>Marriage Hall</t>
  </si>
  <si>
    <t>Camera</t>
  </si>
  <si>
    <t>Electronics</t>
  </si>
  <si>
    <t>Kan</t>
  </si>
  <si>
    <t>Colour &amp; Equipments</t>
  </si>
  <si>
    <t>Geyser</t>
  </si>
  <si>
    <t>Others</t>
  </si>
  <si>
    <t>Hall Rent</t>
  </si>
  <si>
    <t>Total</t>
  </si>
  <si>
    <t>Bou onno</t>
  </si>
  <si>
    <t>Labour</t>
  </si>
  <si>
    <t>Socket</t>
  </si>
  <si>
    <t>Installation</t>
  </si>
  <si>
    <t>Decoration</t>
  </si>
  <si>
    <t>Bouvat Dupur</t>
  </si>
  <si>
    <t>Damp</t>
  </si>
  <si>
    <t>Pre Equipment</t>
  </si>
  <si>
    <t>Light</t>
  </si>
  <si>
    <t>Door</t>
  </si>
  <si>
    <t>Post Equipment &amp;Installation</t>
  </si>
  <si>
    <t>Bouvat Benarasi</t>
  </si>
  <si>
    <t>Texture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</si>
</sst>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9.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NumberFormat="1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workbookViewId="0">
      <selection activeCell="Q4" sqref="Q4"/>
    </sheetView>
  </sheetViews>
  <sheetFormatPr defaultColWidth="9.14285714285714" defaultRowHeight="15"/>
  <cols>
    <col min="1" max="1" width="14.5714285714286" style="9" customWidth="1"/>
    <col min="7" max="7" width="21.5714285714286" customWidth="1"/>
  </cols>
  <sheetData>
    <row r="1" spans="1:18">
      <c r="A1" s="8" t="s">
        <v>0</v>
      </c>
      <c r="B1" s="3" t="s">
        <v>1</v>
      </c>
      <c r="C1" s="3" t="s">
        <v>2</v>
      </c>
      <c r="D1" s="3" t="s">
        <v>3</v>
      </c>
      <c r="P1" s="3" t="s">
        <v>4</v>
      </c>
      <c r="Q1" s="3" t="s">
        <v>5</v>
      </c>
      <c r="R1" s="3" t="s">
        <v>6</v>
      </c>
    </row>
    <row r="2" ht="30" spans="1:18">
      <c r="A2" s="8" t="s">
        <v>7</v>
      </c>
      <c r="B2" s="8">
        <v>86074</v>
      </c>
      <c r="C2" s="8">
        <v>86074</v>
      </c>
      <c r="D2" s="3">
        <f t="shared" ref="D2:D15" si="0">(B2-C2)</f>
        <v>0</v>
      </c>
      <c r="L2" t="s">
        <v>8</v>
      </c>
      <c r="M2" s="10">
        <f>SUM(B2:B34)</f>
        <v>363068</v>
      </c>
      <c r="P2" s="3" t="s">
        <v>9</v>
      </c>
      <c r="Q2" s="3" t="s">
        <v>10</v>
      </c>
      <c r="R2" s="3">
        <v>22460</v>
      </c>
    </row>
    <row r="3" spans="1:18">
      <c r="A3" s="8" t="s">
        <v>11</v>
      </c>
      <c r="B3" s="3">
        <v>47280</v>
      </c>
      <c r="C3" s="3">
        <v>47280</v>
      </c>
      <c r="D3" s="3">
        <f t="shared" si="0"/>
        <v>0</v>
      </c>
      <c r="L3" t="s">
        <v>12</v>
      </c>
      <c r="M3" s="10">
        <f>SUM(C2:C35)</f>
        <v>265568</v>
      </c>
      <c r="P3" s="3" t="s">
        <v>9</v>
      </c>
      <c r="Q3" s="3"/>
      <c r="R3" s="3"/>
    </row>
    <row r="4" spans="1:4">
      <c r="A4" s="8" t="s">
        <v>13</v>
      </c>
      <c r="B4" s="3">
        <v>4100</v>
      </c>
      <c r="C4" s="3">
        <v>4100</v>
      </c>
      <c r="D4" s="3">
        <f t="shared" si="0"/>
        <v>0</v>
      </c>
    </row>
    <row r="5" ht="30" spans="1:4">
      <c r="A5" s="8" t="s">
        <v>14</v>
      </c>
      <c r="B5" s="3">
        <v>9654</v>
      </c>
      <c r="C5" s="3">
        <v>9654</v>
      </c>
      <c r="D5" s="3">
        <f t="shared" si="0"/>
        <v>0</v>
      </c>
    </row>
    <row r="6" spans="1:4">
      <c r="A6" s="8" t="s">
        <v>15</v>
      </c>
      <c r="B6" s="3">
        <v>13500</v>
      </c>
      <c r="C6" s="3">
        <v>2000</v>
      </c>
      <c r="D6" s="3">
        <f t="shared" si="0"/>
        <v>11500</v>
      </c>
    </row>
    <row r="7" spans="1:4">
      <c r="A7" s="8" t="s">
        <v>16</v>
      </c>
      <c r="B7" s="3"/>
      <c r="C7" s="3"/>
      <c r="D7" s="3">
        <f t="shared" si="0"/>
        <v>0</v>
      </c>
    </row>
    <row r="8" ht="30" spans="1:4">
      <c r="A8" s="8" t="s">
        <v>17</v>
      </c>
      <c r="B8" s="3"/>
      <c r="C8" s="3"/>
      <c r="D8" s="3">
        <f t="shared" si="0"/>
        <v>0</v>
      </c>
    </row>
    <row r="9" spans="1:4">
      <c r="A9" s="8" t="s">
        <v>18</v>
      </c>
      <c r="B9" s="3">
        <v>84000</v>
      </c>
      <c r="C9" s="3">
        <v>84000</v>
      </c>
      <c r="D9" s="3">
        <f t="shared" si="0"/>
        <v>0</v>
      </c>
    </row>
    <row r="10" spans="1:4">
      <c r="A10" s="8" t="s">
        <v>19</v>
      </c>
      <c r="B10" s="3"/>
      <c r="C10" s="3"/>
      <c r="D10" s="3">
        <f t="shared" si="0"/>
        <v>0</v>
      </c>
    </row>
    <row r="11" spans="1:4">
      <c r="A11" s="8" t="s">
        <v>20</v>
      </c>
      <c r="B11" s="3"/>
      <c r="C11" s="3"/>
      <c r="D11" s="3">
        <f t="shared" si="0"/>
        <v>0</v>
      </c>
    </row>
    <row r="12" spans="1:4">
      <c r="A12" s="8" t="s">
        <v>21</v>
      </c>
      <c r="B12" s="3"/>
      <c r="C12" s="3"/>
      <c r="D12" s="3">
        <f t="shared" si="0"/>
        <v>0</v>
      </c>
    </row>
    <row r="13" spans="1:4">
      <c r="A13" s="8" t="s">
        <v>22</v>
      </c>
      <c r="B13" s="3">
        <v>60000</v>
      </c>
      <c r="C13" s="3">
        <v>5000</v>
      </c>
      <c r="D13" s="3">
        <f t="shared" si="0"/>
        <v>55000</v>
      </c>
    </row>
    <row r="14" spans="1:4">
      <c r="A14" s="8" t="s">
        <v>23</v>
      </c>
      <c r="B14" s="3">
        <v>36000</v>
      </c>
      <c r="C14" s="3">
        <v>5000</v>
      </c>
      <c r="D14" s="3">
        <f t="shared" si="0"/>
        <v>31000</v>
      </c>
    </row>
    <row r="15" spans="1:4">
      <c r="A15" s="8" t="s">
        <v>10</v>
      </c>
      <c r="B15" s="3">
        <v>22460</v>
      </c>
      <c r="C15" s="3">
        <v>22460</v>
      </c>
      <c r="D15" s="3">
        <f t="shared" si="0"/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9"/>
  <sheetViews>
    <sheetView tabSelected="1" workbookViewId="0">
      <selection activeCell="F20" sqref="F20"/>
    </sheetView>
  </sheetViews>
  <sheetFormatPr defaultColWidth="9.14285714285714" defaultRowHeight="15"/>
  <cols>
    <col min="2" max="2" width="18.4285714285714" customWidth="1"/>
    <col min="3" max="3" width="7.14285714285714" customWidth="1"/>
    <col min="5" max="5" width="14.4285714285714" customWidth="1"/>
    <col min="7" max="7" width="11.7142857142857" customWidth="1"/>
    <col min="13" max="13" width="11.4285714285714" customWidth="1"/>
    <col min="19" max="19" width="12.5714285714286" customWidth="1"/>
    <col min="20" max="20" width="6.57142857142857" customWidth="1"/>
  </cols>
  <sheetData>
    <row r="2" spans="2:20">
      <c r="B2" s="1" t="s">
        <v>7</v>
      </c>
      <c r="C2" s="1"/>
      <c r="E2" s="2" t="s">
        <v>24</v>
      </c>
      <c r="F2" s="2"/>
      <c r="G2" s="2"/>
      <c r="H2" s="2"/>
      <c r="J2" s="2" t="s">
        <v>18</v>
      </c>
      <c r="K2" s="2"/>
      <c r="M2" s="1" t="s">
        <v>22</v>
      </c>
      <c r="N2" s="1"/>
      <c r="P2" s="2" t="s">
        <v>23</v>
      </c>
      <c r="Q2" s="2"/>
      <c r="S2" s="1" t="s">
        <v>10</v>
      </c>
      <c r="T2" s="1"/>
    </row>
    <row r="3" spans="2:20">
      <c r="B3" s="3" t="s">
        <v>0</v>
      </c>
      <c r="C3" s="3" t="s">
        <v>1</v>
      </c>
      <c r="E3" s="3" t="s">
        <v>0</v>
      </c>
      <c r="F3" s="3" t="s">
        <v>1</v>
      </c>
      <c r="G3" s="3" t="s">
        <v>0</v>
      </c>
      <c r="H3" s="3" t="s">
        <v>1</v>
      </c>
      <c r="J3" s="3" t="s">
        <v>25</v>
      </c>
      <c r="K3" s="3">
        <v>24000</v>
      </c>
      <c r="M3" s="3" t="s">
        <v>0</v>
      </c>
      <c r="N3" s="3" t="s">
        <v>1</v>
      </c>
      <c r="P3" s="3" t="s">
        <v>23</v>
      </c>
      <c r="Q3" s="3">
        <v>5000</v>
      </c>
      <c r="S3" s="3" t="s">
        <v>0</v>
      </c>
      <c r="T3" s="3" t="s">
        <v>1</v>
      </c>
    </row>
    <row r="4" spans="2:20">
      <c r="B4" s="4" t="s">
        <v>26</v>
      </c>
      <c r="C4" s="3">
        <v>23890</v>
      </c>
      <c r="E4" s="3" t="s">
        <v>11</v>
      </c>
      <c r="F4" s="3">
        <v>35789</v>
      </c>
      <c r="G4" s="3" t="s">
        <v>27</v>
      </c>
      <c r="H4" s="3">
        <v>3400</v>
      </c>
      <c r="J4" s="3" t="s">
        <v>28</v>
      </c>
      <c r="K4" s="3">
        <v>60000</v>
      </c>
      <c r="M4" s="4" t="s">
        <v>29</v>
      </c>
      <c r="N4" s="3">
        <v>28000</v>
      </c>
      <c r="P4" s="5" t="s">
        <v>30</v>
      </c>
      <c r="Q4" s="6">
        <f ca="1">SUM(Q3:Q4)</f>
        <v>5000</v>
      </c>
      <c r="S4" s="3" t="s">
        <v>31</v>
      </c>
      <c r="T4" s="3">
        <v>4645</v>
      </c>
    </row>
    <row r="5" spans="2:20">
      <c r="B5" s="3" t="s">
        <v>32</v>
      </c>
      <c r="C5" s="3">
        <v>28000</v>
      </c>
      <c r="E5" s="3" t="s">
        <v>33</v>
      </c>
      <c r="F5" s="3">
        <v>2000</v>
      </c>
      <c r="G5" s="3" t="s">
        <v>34</v>
      </c>
      <c r="H5" s="3">
        <v>700</v>
      </c>
      <c r="J5" s="5" t="s">
        <v>30</v>
      </c>
      <c r="K5" s="6">
        <f>SUM(K3:K4)</f>
        <v>84000</v>
      </c>
      <c r="M5" s="3" t="s">
        <v>35</v>
      </c>
      <c r="N5" s="3"/>
      <c r="S5" s="4" t="s">
        <v>36</v>
      </c>
      <c r="T5" s="3">
        <v>2250</v>
      </c>
    </row>
    <row r="6" spans="2:20">
      <c r="B6" s="3" t="s">
        <v>37</v>
      </c>
      <c r="C6" s="3">
        <v>5084</v>
      </c>
      <c r="E6" s="3" t="s">
        <v>38</v>
      </c>
      <c r="F6" s="3">
        <v>3581</v>
      </c>
      <c r="G6" s="5" t="s">
        <v>30</v>
      </c>
      <c r="H6" s="6">
        <f>SUM(H4:H5)</f>
        <v>4100</v>
      </c>
      <c r="M6" s="3" t="s">
        <v>39</v>
      </c>
      <c r="N6" s="3"/>
      <c r="S6" s="3" t="s">
        <v>9</v>
      </c>
      <c r="T6" s="3">
        <v>4645</v>
      </c>
    </row>
    <row r="7" ht="30" spans="2:20">
      <c r="B7" s="3" t="s">
        <v>40</v>
      </c>
      <c r="C7" s="3">
        <v>4100</v>
      </c>
      <c r="E7" s="7" t="s">
        <v>41</v>
      </c>
      <c r="F7" s="3">
        <v>5910</v>
      </c>
      <c r="G7" s="8" t="s">
        <v>14</v>
      </c>
      <c r="H7" s="3">
        <v>9654</v>
      </c>
      <c r="M7" s="3" t="s">
        <v>11</v>
      </c>
      <c r="N7" s="3">
        <v>6000</v>
      </c>
      <c r="S7" s="4" t="s">
        <v>42</v>
      </c>
      <c r="T7" s="3">
        <v>10920</v>
      </c>
    </row>
    <row r="8" spans="2:20">
      <c r="B8" s="3" t="s">
        <v>43</v>
      </c>
      <c r="C8" s="3">
        <v>25000</v>
      </c>
      <c r="E8" s="5" t="s">
        <v>30</v>
      </c>
      <c r="F8" s="6">
        <f>SUM(F4:F7)</f>
        <v>47280</v>
      </c>
      <c r="G8" s="5" t="s">
        <v>30</v>
      </c>
      <c r="H8" s="5">
        <v>9654</v>
      </c>
      <c r="M8" s="5" t="s">
        <v>30</v>
      </c>
      <c r="N8" s="6">
        <f>SUM(N4:N7)</f>
        <v>34000</v>
      </c>
      <c r="S8" s="3"/>
      <c r="T8" s="3"/>
    </row>
    <row r="9" spans="2:20">
      <c r="B9" s="5" t="s">
        <v>30</v>
      </c>
      <c r="C9" s="6">
        <f>SUM(C4:C8)</f>
        <v>86074</v>
      </c>
      <c r="S9" s="5" t="s">
        <v>30</v>
      </c>
      <c r="T9" s="6">
        <f>SUM(T4:T8)</f>
        <v>22460</v>
      </c>
    </row>
  </sheetData>
  <mergeCells count="6">
    <mergeCell ref="B2:C2"/>
    <mergeCell ref="E2:H2"/>
    <mergeCell ref="J2:K2"/>
    <mergeCell ref="M2:N2"/>
    <mergeCell ref="P2:Q2"/>
    <mergeCell ref="S2:T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</vt:lpstr>
      <vt:lpstr>Classification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AB</cp:lastModifiedBy>
  <dcterms:created xsi:type="dcterms:W3CDTF">2026-01-04T12:51:00Z</dcterms:created>
  <dcterms:modified xsi:type="dcterms:W3CDTF">2026-03-12T15:28:58Z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6D676EAF67754C0992630A1B2FBF5BC6_11</vt:lpwstr>
  </property>
  <property fmtid="{D5CDD505-2E9C-101B-9397-08002B2CF9AE}" pid="3" name="KSOProductBuildVer">
    <vt:lpwstr>1033-12.2.0.23196</vt:lpwstr>
  </property>
</Properties>
</file>